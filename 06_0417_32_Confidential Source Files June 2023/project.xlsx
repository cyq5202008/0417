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06_0417_32_Confidential Source Files June 2023\"/>
    </mc:Choice>
  </mc:AlternateContent>
  <xr:revisionPtr revIDLastSave="0" documentId="13_ncr:1_{2CD073C4-029A-45D3-88A4-CBDB876B29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2332project" sheetId="1" r:id="rId1"/>
  </sheets>
  <definedNames>
    <definedName name="_xlnm._FilterDatabase" localSheetId="0" hidden="1">j2332project!$A$1:$N$29</definedName>
  </definedNames>
  <calcPr calcId="191029"/>
</workbook>
</file>

<file path=xl/calcChain.xml><?xml version="1.0" encoding="utf-8"?>
<calcChain xmlns="http://schemas.openxmlformats.org/spreadsheetml/2006/main">
  <c r="L12" i="1" l="1"/>
  <c r="N12" i="1"/>
  <c r="M12" i="1"/>
  <c r="K12" i="1"/>
  <c r="J12" i="1"/>
  <c r="I12" i="1"/>
  <c r="H12" i="1"/>
  <c r="G12" i="1"/>
  <c r="F12" i="1"/>
  <c r="E12" i="1"/>
  <c r="D12" i="1"/>
</calcChain>
</file>

<file path=xl/sharedStrings.xml><?xml version="1.0" encoding="utf-8"?>
<sst xmlns="http://schemas.openxmlformats.org/spreadsheetml/2006/main" count="172" uniqueCount="156">
  <si>
    <t>Tawara Animal Sanctuary income and expenditure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</si>
  <si>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</si>
  <si>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</si>
  <si>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</si>
  <si>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</si>
  <si>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</si>
  <si>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</si>
  <si>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</si>
  <si>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</si>
  <si>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</si>
  <si>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</si>
  <si>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</si>
  <si>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</si>
  <si>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</si>
  <si>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Project</t>
  </si>
  <si>
    <t>Income</t>
  </si>
  <si>
    <t>Elephant</t>
  </si>
  <si>
    <t>2061.45</t>
  </si>
  <si>
    <t>1893.74</t>
  </si>
  <si>
    <t>4586.43</t>
  </si>
  <si>
    <t>2159.94</t>
  </si>
  <si>
    <t>6447.05</t>
  </si>
  <si>
    <t>6541.33</t>
  </si>
  <si>
    <t>5889.93</t>
  </si>
  <si>
    <t>6281.2</t>
  </si>
  <si>
    <t>8244.76</t>
  </si>
  <si>
    <t>8249.47</t>
  </si>
  <si>
    <t>8514.5</t>
  </si>
  <si>
    <t>Monkey</t>
  </si>
  <si>
    <t>3421.02</t>
  </si>
  <si>
    <t>1134.94</t>
  </si>
  <si>
    <t>2565.61</t>
  </si>
  <si>
    <t>3338.51</t>
  </si>
  <si>
    <t>4056.3</t>
  </si>
  <si>
    <t>2089.17</t>
  </si>
  <si>
    <t>3501.97</t>
  </si>
  <si>
    <t>1018.73</t>
  </si>
  <si>
    <t>3604.78</t>
  </si>
  <si>
    <t>455.33</t>
  </si>
  <si>
    <t>3126.84</t>
  </si>
  <si>
    <t>Tiger</t>
  </si>
  <si>
    <t>1846.3</t>
  </si>
  <si>
    <t>1487.65</t>
  </si>
  <si>
    <t>4718.89</t>
  </si>
  <si>
    <t>5897.85</t>
  </si>
  <si>
    <t>6828.12</t>
  </si>
  <si>
    <t>8690.99</t>
  </si>
  <si>
    <t>1525.76</t>
  </si>
  <si>
    <t>8812.25</t>
  </si>
  <si>
    <t>472.59</t>
  </si>
  <si>
    <t>6400.24</t>
  </si>
  <si>
    <t>4808.71</t>
  </si>
  <si>
    <t>Expenditure</t>
  </si>
  <si>
    <t>Relocation</t>
  </si>
  <si>
    <t>4118.3</t>
  </si>
  <si>
    <t>3239.28</t>
  </si>
  <si>
    <t>2469.32</t>
  </si>
  <si>
    <t>2973.13</t>
  </si>
  <si>
    <t>3579.62</t>
  </si>
  <si>
    <t>3260.53</t>
  </si>
  <si>
    <t>33.8</t>
  </si>
  <si>
    <t>2719.38</t>
  </si>
  <si>
    <t>2096.41</t>
  </si>
  <si>
    <t>831.69</t>
  </si>
  <si>
    <t>421.84</t>
  </si>
  <si>
    <t>Veterinary</t>
  </si>
  <si>
    <t>913.83</t>
  </si>
  <si>
    <t>1604.3</t>
  </si>
  <si>
    <t>3595.88</t>
  </si>
  <si>
    <t>1753.4</t>
  </si>
  <si>
    <t>934.38</t>
  </si>
  <si>
    <t>3886.05</t>
  </si>
  <si>
    <t>3200.7</t>
  </si>
  <si>
    <t>3052.32</t>
  </si>
  <si>
    <t>2874.79</t>
  </si>
  <si>
    <t>1306.57</t>
  </si>
  <si>
    <t>1675.18</t>
  </si>
  <si>
    <t>Food</t>
  </si>
  <si>
    <t>2815.71</t>
  </si>
  <si>
    <t>2295.06</t>
  </si>
  <si>
    <t>2629.31</t>
  </si>
  <si>
    <t>280.63</t>
  </si>
  <si>
    <t>1149.43</t>
  </si>
  <si>
    <t>2479.65</t>
  </si>
  <si>
    <t>2007.2</t>
  </si>
  <si>
    <t>4420.34</t>
  </si>
  <si>
    <t>542.01</t>
  </si>
  <si>
    <t>365.61</t>
  </si>
  <si>
    <t>2438.75</t>
  </si>
  <si>
    <t>Total</t>
  </si>
  <si>
    <t>629.55</t>
  </si>
  <si>
    <t>357.86</t>
  </si>
  <si>
    <t>844.56</t>
  </si>
  <si>
    <t>681.08</t>
  </si>
  <si>
    <t>251.3</t>
  </si>
  <si>
    <t>485.6</t>
  </si>
  <si>
    <t>866.48</t>
  </si>
  <si>
    <t>523.59</t>
  </si>
  <si>
    <t>698.75</t>
  </si>
  <si>
    <t>685.38</t>
  </si>
  <si>
    <t>534.26</t>
  </si>
  <si>
    <t>186.53</t>
  </si>
  <si>
    <t>240.2</t>
  </si>
  <si>
    <t>327.27</t>
  </si>
  <si>
    <t>351.5</t>
  </si>
  <si>
    <t>210.9</t>
  </si>
  <si>
    <t>284.51</t>
  </si>
  <si>
    <t>299.61</t>
  </si>
  <si>
    <t>188.59</t>
  </si>
  <si>
    <t>309.2</t>
  </si>
  <si>
    <t>123.29</t>
  </si>
  <si>
    <t>283.5</t>
  </si>
  <si>
    <t>20.33</t>
  </si>
  <si>
    <t>39.66</t>
  </si>
  <si>
    <t>18.63</t>
  </si>
  <si>
    <t>24.15</t>
  </si>
  <si>
    <t>57.47</t>
  </si>
  <si>
    <t>17.97</t>
  </si>
  <si>
    <t>21.86</t>
  </si>
  <si>
    <t>35.45</t>
  </si>
  <si>
    <t>7.67</t>
  </si>
  <si>
    <t>34.32</t>
  </si>
  <si>
    <t>2813.99</t>
  </si>
  <si>
    <t>694.47</t>
  </si>
  <si>
    <t>3050.36</t>
  </si>
  <si>
    <t>2387.33</t>
  </si>
  <si>
    <t>340.58</t>
  </si>
  <si>
    <t>1893.51</t>
  </si>
  <si>
    <t>2375.29</t>
  </si>
  <si>
    <t>2964.81</t>
  </si>
  <si>
    <t>3778.31</t>
  </si>
  <si>
    <t>2764.51</t>
  </si>
  <si>
    <t>4239.04</t>
  </si>
  <si>
    <t>174.66</t>
  </si>
  <si>
    <t>4028.66</t>
  </si>
  <si>
    <t>646.21</t>
  </si>
  <si>
    <t>3094.14</t>
  </si>
  <si>
    <t>753.83</t>
  </si>
  <si>
    <t>3335.82</t>
  </si>
  <si>
    <t>26.2</t>
  </si>
  <si>
    <t>1051.52</t>
  </si>
  <si>
    <t>3373.79</t>
  </si>
  <si>
    <t>139.1</t>
  </si>
  <si>
    <t>2872.11</t>
  </si>
  <si>
    <t>2678.66</t>
  </si>
  <si>
    <t>803.92</t>
  </si>
  <si>
    <t>2731.27</t>
  </si>
  <si>
    <t>3085.12</t>
  </si>
  <si>
    <t>854.12</t>
  </si>
  <si>
    <t>1463.75</t>
  </si>
  <si>
    <t>1310.9</t>
  </si>
  <si>
    <t>1850.41</t>
  </si>
  <si>
    <t>1611.76</t>
  </si>
  <si>
    <t>1603.44</t>
  </si>
  <si>
    <t>1308.39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</si>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</sst>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18" fillId="3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16" fillId="34" borderId="0" xfId="0" applyFont="1" applyFill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34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41" fontId="0" fillId="0" borderId="0" xfId="42" applyFont="1"/>
    <xf numFmtId="0" fontId="0" fillId="0" borderId="0" xfId="0" applyNumberFormat="1" applyAlignment="1">
      <alignment horizontal="right"/>
    </xf>
    <xf numFmtId="0" fontId="0" fillId="0" borderId="0" xfId="42" applyNumberFormat="1" applyFon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" xfId="42" builtinId="6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12" sqref="C12"/>
    </sheetView>
  </sheetViews>
  <sheetFormatPr defaultRowHeight="15" x14ac:dyDescent="0.25"/>
  <cols>
    <col min="1" max="1" width="8.85546875" bestFit="1" customWidth="1"/>
    <col min="2" max="2" width="11.85546875" bestFit="1" customWidth="1"/>
    <col min="10" max="10" width="7.5703125" bestFit="1" customWidth="1"/>
    <col min="11" max="11" width="10.85546875" bestFit="1" customWidth="1"/>
    <col min="12" max="12" width="8.140625" bestFit="1" customWidth="1"/>
    <col min="13" max="13" width="10.42578125" bestFit="1" customWidth="1"/>
  </cols>
  <sheetData>
    <row r="1" spans="1:15" ht="31.5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x14ac:dyDescent="0.25">
      <c r="B2" s="6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5" x14ac:dyDescent="0.25">
      <c r="A3" s="6" t="s">
        <v>14</v>
      </c>
      <c r="B3" s="6" t="s">
        <v>15</v>
      </c>
    </row>
    <row r="4" spans="1:15" x14ac:dyDescent="0.25">
      <c r="A4" s="7" t="s">
        <v>16</v>
      </c>
      <c r="C4" s="9">
        <v>3480.38</v>
      </c>
      <c r="D4" s="9" t="s">
        <v>17</v>
      </c>
      <c r="E4" s="9" t="s">
        <v>18</v>
      </c>
      <c r="F4" s="9" t="s">
        <v>19</v>
      </c>
      <c r="G4" s="9" t="s">
        <v>20</v>
      </c>
      <c r="H4" s="9" t="s">
        <v>21</v>
      </c>
      <c r="I4" s="9" t="s">
        <v>22</v>
      </c>
      <c r="J4" s="9" t="s">
        <v>23</v>
      </c>
      <c r="K4" s="9" t="s">
        <v>24</v>
      </c>
      <c r="L4" s="9" t="s">
        <v>25</v>
      </c>
      <c r="M4" s="9" t="s">
        <v>26</v>
      </c>
      <c r="N4" s="9" t="s">
        <v>27</v>
      </c>
    </row>
    <row r="5" spans="1:15" x14ac:dyDescent="0.25">
      <c r="A5" s="7" t="s">
        <v>28</v>
      </c>
      <c r="C5" s="9">
        <v>754.21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9" t="s">
        <v>34</v>
      </c>
      <c r="J5" s="9" t="s">
        <v>35</v>
      </c>
      <c r="K5" s="9" t="s">
        <v>36</v>
      </c>
      <c r="L5" s="9" t="s">
        <v>37</v>
      </c>
      <c r="M5" s="9" t="s">
        <v>38</v>
      </c>
      <c r="N5" s="9" t="s">
        <v>39</v>
      </c>
    </row>
    <row r="6" spans="1:15" x14ac:dyDescent="0.25">
      <c r="A6" s="7" t="s">
        <v>40</v>
      </c>
      <c r="C6" s="9">
        <v>2952.38</v>
      </c>
      <c r="D6" s="9" t="s">
        <v>41</v>
      </c>
      <c r="E6" s="9" t="s">
        <v>42</v>
      </c>
      <c r="F6" s="9" t="s">
        <v>43</v>
      </c>
      <c r="G6" s="9" t="s">
        <v>44</v>
      </c>
      <c r="H6" s="9" t="s">
        <v>45</v>
      </c>
      <c r="I6" s="9" t="s">
        <v>46</v>
      </c>
      <c r="J6" s="9" t="s">
        <v>47</v>
      </c>
      <c r="K6" s="9" t="s">
        <v>48</v>
      </c>
      <c r="L6" s="9" t="s">
        <v>49</v>
      </c>
      <c r="M6" s="9" t="s">
        <v>50</v>
      </c>
      <c r="N6" s="9" t="s">
        <v>51</v>
      </c>
    </row>
    <row r="7" spans="1:15" ht="4.5" customHeight="1" x14ac:dyDescent="0.25">
      <c r="A7" s="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5" x14ac:dyDescent="0.25">
      <c r="A8" s="6" t="s">
        <v>14</v>
      </c>
      <c r="B8" s="3" t="s">
        <v>52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5" x14ac:dyDescent="0.25">
      <c r="A9" s="5" t="s">
        <v>16</v>
      </c>
      <c r="B9" t="s">
        <v>53</v>
      </c>
      <c r="C9" s="10">
        <v>2716.18</v>
      </c>
      <c r="D9" s="10" t="s">
        <v>54</v>
      </c>
      <c r="E9" s="10" t="s">
        <v>55</v>
      </c>
      <c r="F9" s="10" t="s">
        <v>56</v>
      </c>
      <c r="G9" s="10" t="s">
        <v>57</v>
      </c>
      <c r="H9" s="10" t="s">
        <v>58</v>
      </c>
      <c r="I9" s="10" t="s">
        <v>59</v>
      </c>
      <c r="J9" s="10" t="s">
        <v>60</v>
      </c>
      <c r="K9" s="10" t="s">
        <v>61</v>
      </c>
      <c r="L9" s="10" t="s">
        <v>62</v>
      </c>
      <c r="M9" s="10" t="s">
        <v>63</v>
      </c>
      <c r="N9" s="10" t="s">
        <v>64</v>
      </c>
      <c r="O9" s="8"/>
    </row>
    <row r="10" spans="1:15" x14ac:dyDescent="0.25">
      <c r="A10" s="5"/>
      <c r="B10" t="s">
        <v>65</v>
      </c>
      <c r="C10" s="10">
        <v>2190.9699999999998</v>
      </c>
      <c r="D10" s="10" t="s">
        <v>66</v>
      </c>
      <c r="E10" s="10" t="s">
        <v>67</v>
      </c>
      <c r="F10" s="10" t="s">
        <v>68</v>
      </c>
      <c r="G10" s="10" t="s">
        <v>69</v>
      </c>
      <c r="H10" s="10" t="s">
        <v>70</v>
      </c>
      <c r="I10" s="10" t="s">
        <v>71</v>
      </c>
      <c r="J10" s="10" t="s">
        <v>72</v>
      </c>
      <c r="K10" s="10" t="s">
        <v>73</v>
      </c>
      <c r="L10" s="10" t="s">
        <v>74</v>
      </c>
      <c r="M10" s="10" t="s">
        <v>75</v>
      </c>
      <c r="N10" s="10" t="s">
        <v>76</v>
      </c>
      <c r="O10" s="8"/>
    </row>
    <row r="11" spans="1:15" x14ac:dyDescent="0.25">
      <c r="A11" s="5"/>
      <c r="B11" t="s">
        <v>77</v>
      </c>
      <c r="C11" s="10">
        <v>2048.94</v>
      </c>
      <c r="D11" s="10" t="s">
        <v>78</v>
      </c>
      <c r="E11" s="10" t="s">
        <v>79</v>
      </c>
      <c r="F11" s="10" t="s">
        <v>80</v>
      </c>
      <c r="G11" s="10" t="s">
        <v>81</v>
      </c>
      <c r="H11" s="10" t="s">
        <v>82</v>
      </c>
      <c r="I11" s="10" t="s">
        <v>83</v>
      </c>
      <c r="J11" s="10" t="s">
        <v>84</v>
      </c>
      <c r="K11" s="10" t="s">
        <v>85</v>
      </c>
      <c r="L11" s="10" t="s">
        <v>86</v>
      </c>
      <c r="M11" s="10" t="s">
        <v>87</v>
      </c>
      <c r="N11" s="10" t="s">
        <v>88</v>
      </c>
      <c r="O11" s="8"/>
    </row>
    <row r="12" spans="1:15" x14ac:dyDescent="0.25">
      <c r="A12" s="5"/>
      <c r="B12" s="4" t="s">
        <v>89</v>
      </c>
      <c r="C12" s="9"/>
      <c r="D12" s="9">
        <f t="shared" ref="D12:N12" si="0">SUM(D9:D11)</f>
        <v>0</v>
      </c>
      <c r="E12" s="9">
        <f t="shared" si="0"/>
        <v>0</v>
      </c>
      <c r="F12" s="9">
        <f t="shared" si="0"/>
        <v>0</v>
      </c>
      <c r="G12" s="9">
        <f t="shared" si="0"/>
        <v>0</v>
      </c>
      <c r="H12" s="9">
        <f t="shared" si="0"/>
        <v>0</v>
      </c>
      <c r="I12" s="9">
        <f t="shared" si="0"/>
        <v>0</v>
      </c>
      <c r="J12" s="9">
        <f t="shared" si="0"/>
        <v>0</v>
      </c>
      <c r="K12" s="9">
        <f t="shared" si="0"/>
        <v>0</v>
      </c>
      <c r="L12" s="9">
        <f t="shared" si="0"/>
        <v>0</v>
      </c>
      <c r="M12" s="9">
        <f t="shared" si="0"/>
        <v>0</v>
      </c>
      <c r="N12" s="9">
        <f t="shared" si="0"/>
        <v>0</v>
      </c>
    </row>
    <row r="13" spans="1:15" x14ac:dyDescent="0.25">
      <c r="A13" s="5" t="s">
        <v>28</v>
      </c>
      <c r="B13" t="s">
        <v>53</v>
      </c>
      <c r="C13" s="9">
        <v>542.20000000000005</v>
      </c>
      <c r="D13" s="9" t="s">
        <v>90</v>
      </c>
      <c r="E13" s="9" t="s">
        <v>91</v>
      </c>
      <c r="F13" s="9" t="s">
        <v>92</v>
      </c>
      <c r="G13" s="9" t="s">
        <v>93</v>
      </c>
      <c r="H13" s="9" t="s">
        <v>94</v>
      </c>
      <c r="I13" s="9" t="s">
        <v>95</v>
      </c>
      <c r="J13" s="9" t="s">
        <v>96</v>
      </c>
      <c r="K13" s="9" t="s">
        <v>97</v>
      </c>
      <c r="L13" s="9" t="s">
        <v>98</v>
      </c>
      <c r="M13" s="9" t="s">
        <v>99</v>
      </c>
      <c r="N13" s="9" t="s">
        <v>100</v>
      </c>
    </row>
    <row r="14" spans="1:15" x14ac:dyDescent="0.25">
      <c r="A14" s="5"/>
      <c r="B14" t="s">
        <v>65</v>
      </c>
      <c r="C14" s="9">
        <v>381.8</v>
      </c>
      <c r="D14" s="9" t="s">
        <v>101</v>
      </c>
      <c r="E14" s="9" t="s">
        <v>102</v>
      </c>
      <c r="F14" s="9" t="s">
        <v>103</v>
      </c>
      <c r="G14" s="9" t="s">
        <v>104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109</v>
      </c>
      <c r="M14" s="9" t="s">
        <v>110</v>
      </c>
      <c r="N14" s="9" t="s">
        <v>111</v>
      </c>
    </row>
    <row r="15" spans="1:15" x14ac:dyDescent="0.25">
      <c r="A15" s="5"/>
      <c r="B15" t="s">
        <v>77</v>
      </c>
      <c r="C15" s="9">
        <v>38.869999999999997</v>
      </c>
      <c r="D15" s="9" t="s">
        <v>112</v>
      </c>
      <c r="E15" s="9" t="s">
        <v>113</v>
      </c>
      <c r="F15" s="9">
        <v>36</v>
      </c>
      <c r="G15" s="9" t="s">
        <v>114</v>
      </c>
      <c r="H15" s="9" t="s">
        <v>115</v>
      </c>
      <c r="I15" s="9" t="s">
        <v>116</v>
      </c>
      <c r="J15" s="9" t="s">
        <v>117</v>
      </c>
      <c r="K15" s="9" t="s">
        <v>118</v>
      </c>
      <c r="L15" s="9" t="s">
        <v>119</v>
      </c>
      <c r="M15" s="9" t="s">
        <v>120</v>
      </c>
      <c r="N15" s="9" t="s">
        <v>121</v>
      </c>
    </row>
    <row r="16" spans="1:15" x14ac:dyDescent="0.25">
      <c r="A16" s="5"/>
      <c r="B16" s="4" t="s">
        <v>89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x14ac:dyDescent="0.25">
      <c r="A17" s="5" t="s">
        <v>40</v>
      </c>
      <c r="B17" t="s">
        <v>53</v>
      </c>
      <c r="C17" s="9">
        <v>1323.71</v>
      </c>
      <c r="D17" s="9" t="s">
        <v>122</v>
      </c>
      <c r="E17" s="9" t="s">
        <v>123</v>
      </c>
      <c r="F17" s="9" t="s">
        <v>124</v>
      </c>
      <c r="G17" s="9" t="s">
        <v>125</v>
      </c>
      <c r="H17" s="9" t="s">
        <v>126</v>
      </c>
      <c r="I17" s="9" t="s">
        <v>127</v>
      </c>
      <c r="J17" s="9" t="s">
        <v>128</v>
      </c>
      <c r="K17" s="9" t="s">
        <v>129</v>
      </c>
      <c r="L17" s="9" t="s">
        <v>130</v>
      </c>
      <c r="M17" s="9" t="s">
        <v>131</v>
      </c>
      <c r="N17" s="9" t="s">
        <v>132</v>
      </c>
    </row>
    <row r="18" spans="1:14" x14ac:dyDescent="0.25">
      <c r="A18" s="5"/>
      <c r="B18" t="s">
        <v>65</v>
      </c>
      <c r="C18" s="9">
        <v>1727.69</v>
      </c>
      <c r="D18" s="9" t="s">
        <v>133</v>
      </c>
      <c r="E18" s="9" t="s">
        <v>134</v>
      </c>
      <c r="F18" s="9" t="s">
        <v>135</v>
      </c>
      <c r="G18" s="9" t="s">
        <v>136</v>
      </c>
      <c r="H18" s="9" t="s">
        <v>137</v>
      </c>
      <c r="I18" s="9" t="s">
        <v>138</v>
      </c>
      <c r="J18" s="9" t="s">
        <v>139</v>
      </c>
      <c r="K18" s="9" t="s">
        <v>140</v>
      </c>
      <c r="L18" s="9" t="s">
        <v>141</v>
      </c>
      <c r="M18" s="9" t="s">
        <v>142</v>
      </c>
      <c r="N18" s="9" t="s">
        <v>143</v>
      </c>
    </row>
    <row r="19" spans="1:14" x14ac:dyDescent="0.25">
      <c r="A19" s="5"/>
      <c r="B19" t="s">
        <v>77</v>
      </c>
      <c r="C19" s="9">
        <v>4319.7700000000004</v>
      </c>
      <c r="D19" s="9" t="s">
        <v>144</v>
      </c>
      <c r="E19" s="9" t="s">
        <v>145</v>
      </c>
      <c r="F19" s="9" t="s">
        <v>146</v>
      </c>
      <c r="G19" s="9" t="s">
        <v>147</v>
      </c>
      <c r="H19" s="9" t="s">
        <v>148</v>
      </c>
      <c r="I19" s="9" t="s">
        <v>149</v>
      </c>
      <c r="J19" s="9" t="s">
        <v>150</v>
      </c>
      <c r="K19" s="9" t="s">
        <v>151</v>
      </c>
      <c r="L19" s="9" t="s">
        <v>152</v>
      </c>
      <c r="M19" s="9" t="s">
        <v>153</v>
      </c>
      <c r="N19" s="9" t="s">
        <v>154</v>
      </c>
    </row>
    <row r="20" spans="1:14" x14ac:dyDescent="0.25">
      <c r="A20" s="5"/>
      <c r="B20" s="4" t="s">
        <v>89</v>
      </c>
    </row>
    <row r="21" spans="1:14" ht="1.5" customHeight="1" x14ac:dyDescent="0.25">
      <c r="A21" s="7"/>
    </row>
    <row r="22" spans="1:14" x14ac:dyDescent="0.25">
      <c r="A22" s="6" t="s">
        <v>14</v>
      </c>
      <c r="B22" s="3" t="s">
        <v>155</v>
      </c>
    </row>
    <row r="23" spans="1:14" x14ac:dyDescent="0.25">
      <c r="A23" s="7" t="s">
        <v>16</v>
      </c>
    </row>
    <row r="24" spans="1:14" x14ac:dyDescent="0.25">
      <c r="A24" s="7" t="s">
        <v>28</v>
      </c>
    </row>
    <row r="25" spans="1:14" x14ac:dyDescent="0.25">
      <c r="A25" s="7" t="s">
        <v>40</v>
      </c>
    </row>
  </sheetData>
  <mergeCells count="4">
    <mergeCell ref="A1:N1"/>
    <mergeCell ref="A9:A12"/>
    <mergeCell ref="A13:A16"/>
    <mergeCell ref="A17:A20"/>
  </mergeCells>
  <pageMargins left="0.7" right="0.7" top="0.75" bottom="0.75" header="0.3" footer="0.3"/>
  <pageSetup paperSize="9" orientation="portrait" r:id="rId1"/>
  <headerFooter>
    <oddHeader>&amp;CSpreadsheet preapred by: &amp;D 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j2332project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jayden jackson</cp:lastModifiedBy>
  <dcterms:created xsi:type="dcterms:W3CDTF">2024-04-03T07:01:56Z</dcterms:created>
  <dcterms:modified xsi:type="dcterms:W3CDTF">2024-04-03T07:44:23Z</dcterms:modified>
</cp:coreProperties>
</file>